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<sst xmlns="http://schemas.openxmlformats.org/spreadsheetml/2006/main" count="150" uniqueCount="47">
  <si>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</si>
  <si>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</si>
  <si>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</si>
  <si>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</si>
  <si>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</si>
  <si>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</si>
  <si>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</si>
  <si>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</si>
  <si>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</si>
  <si>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</si>
  <si>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</si>
  <si>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</si>
  <si>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</si>
  <si>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</si>
  <si>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</si>
  <si>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</si>
  <si>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</si>
  <si>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</si>
  <si>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</si>
  <si>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</si>
  <si>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</si>
  <si>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</si>
  <si>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</si>
  <si>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</si>
  <si>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</si>
  <si>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X</t>
  </si>
  <si>
    <t xml:space="preserve">Q2) The AI tool helped me (the user) understand how often the three AI Agents (Preparator, Aggregator, Validator) may make mistakes.  </t>
  </si>
  <si>
    <t>(  )</t>
  </si>
  <si>
    <t xml:space="preserve">Q3) The AI tool correctly acts or interrupts me (the user) based on my (the user) current task and context. </t>
  </si>
  <si>
    <t>( )</t>
  </si>
  <si>
    <t>Q4) The AI tool displays information that is relevant to me (the user), given my current task and context.</t>
  </si>
  <si>
    <t>x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</si>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</sst>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color theme="1"/>
      <name val="Aptos Narrow"/>
      <scheme val="minor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22.5" customHeight="1">
      <c r="A1" s="7" t="s">
        <v>14</v>
      </c>
      <c r="B1" s="8"/>
      <c r="C1" s="8"/>
      <c r="D1" s="8"/>
      <c r="E1" s="8"/>
      <c r="F1" s="8"/>
      <c r="G1" s="8"/>
      <c r="H1" s="8"/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8"/>
      <c r="B2" s="8"/>
      <c r="C2" s="8"/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"/>
      <c r="B3" s="8"/>
      <c r="C3" s="8"/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23</v>
      </c>
      <c r="B5" s="14" t="s">
        <v>24</v>
      </c>
      <c r="C5" s="14" t="s">
        <v>24</v>
      </c>
      <c r="D5" s="15" t="s">
        <v>25</v>
      </c>
      <c r="E5" s="14" t="s">
        <v>24</v>
      </c>
      <c r="F5" s="14" t="s">
        <v>24</v>
      </c>
      <c r="G5" s="14" t="s">
        <v>24</v>
      </c>
      <c r="H5" s="14" t="str">
        <f>IFERROR(__xludf.DUMMYFUNCTION("IFERROR(REGEXEXTRACT(INDEX(B$4:G$4, MATCH(""x"", B5:G5, 0)), ""\d""), ""N/A"")"),"3")</f>
        <v>3</v>
      </c>
      <c r="I5" s="9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 t="s">
        <v>26</v>
      </c>
      <c r="B6" s="18" t="s">
        <v>27</v>
      </c>
      <c r="C6" s="19" t="s">
        <v>24</v>
      </c>
      <c r="D6" s="19" t="s">
        <v>24</v>
      </c>
      <c r="E6" s="19" t="s">
        <v>24</v>
      </c>
      <c r="F6" s="18" t="s">
        <v>25</v>
      </c>
      <c r="G6" s="19" t="s">
        <v>24</v>
      </c>
      <c r="H6" s="14" t="str">
        <f>IFERROR(__xludf.DUMMYFUNCTION("IFERROR(REGEXEXTRACT(INDEX(B$4:G$4, MATCH(""x"", B6:G6, 0)), ""\d""), ""N/A"")"),"1")</f>
        <v>1</v>
      </c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28</v>
      </c>
      <c r="B7" s="14" t="s">
        <v>24</v>
      </c>
      <c r="C7" s="14" t="s">
        <v>24</v>
      </c>
      <c r="D7" s="14" t="s">
        <v>24</v>
      </c>
      <c r="E7" s="15" t="s">
        <v>25</v>
      </c>
      <c r="F7" s="15" t="s">
        <v>29</v>
      </c>
      <c r="G7" s="14" t="s">
        <v>24</v>
      </c>
      <c r="H7" s="14" t="str">
        <f>IFERROR(__xludf.DUMMYFUNCTION("IFERROR(REGEXEXTRACT(INDEX(B$4:G$4, MATCH(""x"", B7:G7, 0)), ""\d""), ""N/A"")"),"2")</f>
        <v>2</v>
      </c>
      <c r="I7" s="9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 t="s">
        <v>30</v>
      </c>
      <c r="B8" s="19" t="s">
        <v>24</v>
      </c>
      <c r="C8" s="18" t="s">
        <v>31</v>
      </c>
      <c r="D8" s="19" t="s">
        <v>24</v>
      </c>
      <c r="E8" s="19" t="s">
        <v>24</v>
      </c>
      <c r="F8" s="19" t="s">
        <v>24</v>
      </c>
      <c r="G8" s="19" t="s">
        <v>24</v>
      </c>
      <c r="H8" s="14" t="str">
        <f>IFERROR(__xludf.DUMMYFUNCTION("IFERROR(REGEXEXTRACT(INDEX(B$4:G$4, MATCH(""x"", B8:G8, 0)), ""\d""), ""N/A"")"),"4")</f>
        <v>4</v>
      </c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32</v>
      </c>
      <c r="B9" s="15" t="s">
        <v>25</v>
      </c>
      <c r="C9" s="14" t="s">
        <v>24</v>
      </c>
      <c r="D9" s="14" t="s">
        <v>24</v>
      </c>
      <c r="E9" s="14" t="s">
        <v>24</v>
      </c>
      <c r="F9" s="14" t="s">
        <v>24</v>
      </c>
      <c r="G9" s="14" t="s">
        <v>24</v>
      </c>
      <c r="H9" s="14" t="str">
        <f>IFERROR(__xludf.DUMMYFUNCTION("IFERROR(REGEXEXTRACT(INDEX(B$4:G$4, MATCH(""x"", B9:G9, 0)), ""\d""), ""N/A"")"),"5")</f>
        <v>5</v>
      </c>
      <c r="I9" s="9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 t="s">
        <v>33</v>
      </c>
      <c r="B10" s="18" t="s">
        <v>25</v>
      </c>
      <c r="C10" s="19" t="s">
        <v>24</v>
      </c>
      <c r="D10" s="18" t="s">
        <v>27</v>
      </c>
      <c r="E10" s="19" t="s">
        <v>24</v>
      </c>
      <c r="F10" s="19" t="s">
        <v>24</v>
      </c>
      <c r="G10" s="19" t="s">
        <v>24</v>
      </c>
      <c r="H10" s="14" t="str">
        <f>IFERROR(__xludf.DUMMYFUNCTION("IFERROR(REGEXEXTRACT(INDEX(B$4:G$4, MATCH(""x"", B10:G10, 0)), ""\d""), ""N/A"")"),"5")</f>
        <v>5</v>
      </c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34</v>
      </c>
      <c r="B11" s="14" t="s">
        <v>24</v>
      </c>
      <c r="C11" s="15" t="s">
        <v>31</v>
      </c>
      <c r="D11" s="14" t="s">
        <v>24</v>
      </c>
      <c r="E11" s="14" t="s">
        <v>24</v>
      </c>
      <c r="F11" s="14" t="s">
        <v>24</v>
      </c>
      <c r="G11" s="14" t="s">
        <v>24</v>
      </c>
      <c r="H11" s="14" t="str">
        <f>IFERROR(__xludf.DUMMYFUNCTION("IFERROR(REGEXEXTRACT(INDEX(B$4:G$4, MATCH(""x"", B11:G11, 0)), ""\d""), ""N/A"")"),"4")</f>
        <v>4</v>
      </c>
      <c r="I11" s="9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 t="s">
        <v>35</v>
      </c>
      <c r="B12" s="19" t="s">
        <v>24</v>
      </c>
      <c r="C12" s="18" t="s">
        <v>25</v>
      </c>
      <c r="D12" s="19" t="s">
        <v>24</v>
      </c>
      <c r="E12" s="19" t="s">
        <v>24</v>
      </c>
      <c r="F12" s="19" t="s">
        <v>24</v>
      </c>
      <c r="G12" s="19" t="s">
        <v>24</v>
      </c>
      <c r="H12" s="14" t="str">
        <f>IFERROR(__xludf.DUMMYFUNCTION("IFERROR(REGEXEXTRACT(INDEX(B$4:G$4, MATCH(""x"", B12:G12, 0)), ""\d""), ""N/A"")"),"4")</f>
        <v>4</v>
      </c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36</v>
      </c>
      <c r="B13" s="14" t="s">
        <v>24</v>
      </c>
      <c r="C13" s="14" t="s">
        <v>24</v>
      </c>
      <c r="D13" s="14" t="s">
        <v>24</v>
      </c>
      <c r="E13" s="15" t="s">
        <v>25</v>
      </c>
      <c r="F13" s="14" t="s">
        <v>24</v>
      </c>
      <c r="G13" s="14" t="s">
        <v>24</v>
      </c>
      <c r="H13" s="14" t="str">
        <f>IFERROR(__xludf.DUMMYFUNCTION("IFERROR(REGEXEXTRACT(INDEX(B$4:G$4, MATCH(""x"", B13:G13, 0)), ""\d""), ""N/A"")"),"2")</f>
        <v>2</v>
      </c>
      <c r="I13" s="9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 t="s">
        <v>37</v>
      </c>
      <c r="B14" s="19" t="s">
        <v>24</v>
      </c>
      <c r="C14" s="19" t="s">
        <v>24</v>
      </c>
      <c r="D14" s="19" t="s">
        <v>24</v>
      </c>
      <c r="E14" s="19" t="s">
        <v>24</v>
      </c>
      <c r="F14" s="19" t="s">
        <v>24</v>
      </c>
      <c r="G14" s="19" t="s">
        <v>24</v>
      </c>
      <c r="H14" s="14" t="str">
        <f>IFERROR(__xludf.DUMMYFUNCTION("IFERROR(REGEXEXTRACT(INDEX(B$4:G$4, MATCH(""x"", B14:G14, 0)), ""\d""), ""N/A"")"),"N/A")</f>
        <v>N/A</v>
      </c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38</v>
      </c>
      <c r="B15" s="14" t="s">
        <v>24</v>
      </c>
      <c r="C15" s="14" t="s">
        <v>24</v>
      </c>
      <c r="D15" s="14" t="s">
        <v>24</v>
      </c>
      <c r="E15" s="14" t="s">
        <v>24</v>
      </c>
      <c r="F15" s="14" t="s">
        <v>24</v>
      </c>
      <c r="G15" s="14" t="s">
        <v>24</v>
      </c>
      <c r="H15" s="14" t="str">
        <f>IFERROR(__xludf.DUMMYFUNCTION("IFERROR(REGEXEXTRACT(INDEX(B$4:G$4, MATCH(""x"", B15:G15, 0)), ""\d""), ""N/A"")"),"N/A")</f>
        <v>N/A</v>
      </c>
      <c r="I15" s="9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 t="s">
        <v>39</v>
      </c>
      <c r="B16" s="19" t="s">
        <v>24</v>
      </c>
      <c r="C16" s="19" t="s">
        <v>24</v>
      </c>
      <c r="D16" s="19" t="s">
        <v>24</v>
      </c>
      <c r="E16" s="19" t="s">
        <v>24</v>
      </c>
      <c r="F16" s="19" t="s">
        <v>24</v>
      </c>
      <c r="G16" s="19" t="s">
        <v>24</v>
      </c>
      <c r="H16" s="14" t="str">
        <f>IFERROR(__xludf.DUMMYFUNCTION("IFERROR(REGEXEXTRACT(INDEX(B$4:G$4, MATCH(""x"", B16:G16, 0)), ""\d""), ""N/A"")"),"N/A")</f>
        <v>N/A</v>
      </c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40</v>
      </c>
      <c r="B17" s="14" t="s">
        <v>24</v>
      </c>
      <c r="C17" s="14" t="s">
        <v>24</v>
      </c>
      <c r="D17" s="15" t="s">
        <v>25</v>
      </c>
      <c r="E17" s="14" t="s">
        <v>24</v>
      </c>
      <c r="F17" s="14" t="s">
        <v>24</v>
      </c>
      <c r="G17" s="14" t="s">
        <v>24</v>
      </c>
      <c r="H17" s="14" t="str">
        <f>IFERROR(__xludf.DUMMYFUNCTION("IFERROR(REGEXEXTRACT(INDEX(B$4:G$4, MATCH(""x"", B17:G17, 0)), ""\d""), ""N/A"")"),"3")</f>
        <v>3</v>
      </c>
      <c r="I17" s="9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 t="s">
        <v>41</v>
      </c>
      <c r="B18" s="19" t="s">
        <v>24</v>
      </c>
      <c r="C18" s="19" t="s">
        <v>24</v>
      </c>
      <c r="D18" s="18" t="s">
        <v>25</v>
      </c>
      <c r="E18" s="19" t="s">
        <v>24</v>
      </c>
      <c r="F18" s="19" t="s">
        <v>24</v>
      </c>
      <c r="G18" s="19" t="s">
        <v>24</v>
      </c>
      <c r="H18" s="14" t="str">
        <f>IFERROR(__xludf.DUMMYFUNCTION("IFERROR(REGEXEXTRACT(INDEX(B$4:G$4, MATCH(""x"", B18:G18, 0)), ""\d""), ""N/A"")"),"3")</f>
        <v>3</v>
      </c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42</v>
      </c>
      <c r="B19" s="14" t="s">
        <v>24</v>
      </c>
      <c r="C19" s="15" t="s">
        <v>31</v>
      </c>
      <c r="D19" s="14" t="s">
        <v>24</v>
      </c>
      <c r="E19" s="14" t="s">
        <v>24</v>
      </c>
      <c r="F19" s="14" t="s">
        <v>24</v>
      </c>
      <c r="G19" s="14" t="s">
        <v>24</v>
      </c>
      <c r="H19" s="14" t="str">
        <f>IFERROR(__xludf.DUMMYFUNCTION("IFERROR(REGEXEXTRACT(INDEX(B$4:G$4, MATCH(""x"", B19:G19, 0)), ""\d""), ""N/A"")"),"4")</f>
        <v>4</v>
      </c>
      <c r="I19" s="9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 t="s">
        <v>43</v>
      </c>
      <c r="B20" s="19" t="s">
        <v>24</v>
      </c>
      <c r="C20" s="18" t="s">
        <v>25</v>
      </c>
      <c r="D20" s="19" t="s">
        <v>24</v>
      </c>
      <c r="E20" s="19" t="s">
        <v>24</v>
      </c>
      <c r="F20" s="19" t="s">
        <v>24</v>
      </c>
      <c r="G20" s="19" t="s">
        <v>24</v>
      </c>
      <c r="H20" s="14" t="str">
        <f>IFERROR(__xludf.DUMMYFUNCTION("IFERROR(REGEXEXTRACT(INDEX(B$4:G$4, MATCH(""x"", B20:G20, 0)), ""\d""), ""N/A"")"),"4")</f>
        <v>4</v>
      </c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0.75" customHeight="1">
      <c r="A21" s="13" t="s">
        <v>44</v>
      </c>
      <c r="B21" s="14" t="s">
        <v>24</v>
      </c>
      <c r="C21" s="14" t="s">
        <v>24</v>
      </c>
      <c r="D21" s="14" t="s">
        <v>24</v>
      </c>
      <c r="E21" s="14" t="s">
        <v>24</v>
      </c>
      <c r="F21" s="14" t="s">
        <v>24</v>
      </c>
      <c r="G21" s="15" t="s">
        <v>25</v>
      </c>
      <c r="H21" s="14" t="str">
        <f>IFERROR(__xludf.DUMMYFUNCTION("IFERROR(REGEXEXTRACT(INDEX(B$4:G$4, MATCH(""x"", B21:G21, 0)), ""\d""), ""N/A"")"),"N/A")</f>
        <v>N/A</v>
      </c>
      <c r="I21" s="9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8.5" customHeight="1">
      <c r="A22" s="17" t="s">
        <v>45</v>
      </c>
      <c r="B22" s="19" t="s">
        <v>24</v>
      </c>
      <c r="C22" s="19" t="s">
        <v>24</v>
      </c>
      <c r="D22" s="19" t="s">
        <v>24</v>
      </c>
      <c r="E22" s="19" t="s">
        <v>24</v>
      </c>
      <c r="F22" s="19" t="s">
        <v>24</v>
      </c>
      <c r="G22" s="19" t="s">
        <v>24</v>
      </c>
      <c r="H22" s="14" t="str">
        <f>IFERROR(__xludf.DUMMYFUNCTION("IFERROR(REGEXEXTRACT(INDEX(B$4:G$4, MATCH(""x"", B22:G22, 0)), ""\d""), ""N/A"")"),"N/A")</f>
        <v>N/A</v>
      </c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21" t="s">
        <v>46</v>
      </c>
      <c r="B24" s="20"/>
      <c r="C24" s="20"/>
      <c r="D24" s="20"/>
      <c r="E24" s="20"/>
      <c r="F24" s="20"/>
      <c r="G24" s="20"/>
      <c r="H24" s="20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