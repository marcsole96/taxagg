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  <sheet state="visible" name="Combined" sheetId="3" r:id="rId6"/>
  </sheets>
  <definedNames/>
  <calcPr/>
  <extLst>
    <ext uri="GoogleSheetsCustomDataVersion2">
      <go:sheetsCustomData xmlns:go="http://customooxmlschemas.google.com/" r:id="rId7" roundtripDataChecksum="9g/+YLb5Aqf2DuKqEIwcbS5ZHjl8hi+QJHHj0/7xN9A="/>
    </ext>
  </extLst>
</workbook>
</file>

<file path=xl/sharedStrings.xml><?xml version="1.0" encoding="utf-8"?>
<sst xmlns="http://schemas.openxmlformats.org/spreadsheetml/2006/main" count="179" uniqueCount="58">
  <si>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</si>
  <si>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</si>
  <si>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</si>
  <si>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</si>
  <si>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</si>
  <si>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</si>
  <si>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Bachelor of Science in Software Development</t>
  </si>
  <si>
    <t>Q4) Have you ever used GenerativeAI (GenAI)? (Yes/No)?</t>
  </si>
  <si>
    <t>Yes</t>
  </si>
  <si>
    <t>Q5) If you answered 'Yes' to Q4, how often do you use GenAI? (e.g. once a week)</t>
  </si>
  <si>
    <t>twice a week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</si>
  <si>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</si>
  <si>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</si>
  <si>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</si>
  <si>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</si>
  <si>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</si>
  <si>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</si>
  <si>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</si>
  <si>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</si>
  <si>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</si>
  <si>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</si>
  <si>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</si>
  <si>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</si>
  <si>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</t>
  </si>
  <si>
    <t>score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</si>
  <si>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</si>
  <si>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</si>
  <si>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</si>
  <si>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</si>
  <si>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</si>
  <si>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( )</t>
  </si>
  <si>
    <t>I dont think it was working correctly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</si>
  <si>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</si>
  <si>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</si>
  <si>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</si>
  <si>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</si>
  <si>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</si>
  <si>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</si>
  <si>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</si>
  <si>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</si>
  <si>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</si>
  <si>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</si>
  <si>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</si>
  <si>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</si>
  <si>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</si>
  <si>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</si>
  <si>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</si>
  <si>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</si>
  <si>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While the AI tool provided did make suggestions it failed to cluster anything, I am not sure if this is something that is cause by the software itself or is it an error caused 18 inches from the keyboard</t>
  </si>
  <si>
    <t>Adding some screenshots</t>
  </si>
  <si>
    <t>Raitis</t>
  </si>
  <si>
    <t>Tanvir</t>
  </si>
  <si>
    <t>Minhaj</t>
  </si>
  <si>
    <t>Sooki</t>
  </si>
  <si>
    <t>Emma</t>
  </si>
  <si>
    <t>Total score</t>
  </si>
  <si>
    <t>Age</t>
  </si>
  <si>
    <t>Correlation coef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</si>
</sst>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</font>
    <font>
      <sz val="14.0"/>
      <color theme="1"/>
      <name val="Aptos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6" fillId="3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3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2" fillId="3" fontId="2" numFmtId="0" xfId="0" applyAlignment="1" applyBorder="1" applyFont="1">
      <alignment horizontal="right" vertical="bottom"/>
    </xf>
    <xf borderId="2" fillId="3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12" fillId="0" fontId="3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wrapText="1"/>
    </xf>
    <xf borderId="0" fillId="0" fontId="7" numFmtId="0" xfId="0" applyFont="1"/>
    <xf borderId="0" fillId="0" fontId="2" numFmtId="0" xfId="0" applyFont="1"/>
    <xf borderId="0" fillId="0" fontId="4" numFmtId="0" xfId="0" applyAlignment="1" applyFont="1">
      <alignment shrinkToFit="0" wrapText="1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Scores on questions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Combined!$B$2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Combined!$A$3:$A$22</c:f>
            </c:numRef>
          </c:xVal>
          <c:yVal>
            <c:numRef>
              <c:f>Combined!$B$3:$B$22</c:f>
              <c:numCache/>
            </c:numRef>
          </c:yVal>
        </c:ser>
        <c:ser>
          <c:idx val="1"/>
          <c:order val="1"/>
          <c:tx>
            <c:strRef>
              <c:f>Combined!$C$2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Combined!$A$3:$A$22</c:f>
            </c:numRef>
          </c:xVal>
          <c:yVal>
            <c:numRef>
              <c:f>Combined!$C$3:$C$22</c:f>
              <c:numCache/>
            </c:numRef>
          </c:yVal>
        </c:ser>
        <c:ser>
          <c:idx val="2"/>
          <c:order val="2"/>
          <c:tx>
            <c:strRef>
              <c:f>Combined!$D$2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Combined!$A$3:$A$22</c:f>
            </c:numRef>
          </c:xVal>
          <c:yVal>
            <c:numRef>
              <c:f>Combined!$D$3:$D$22</c:f>
              <c:numCache/>
            </c:numRef>
          </c:yVal>
        </c:ser>
        <c:ser>
          <c:idx val="3"/>
          <c:order val="3"/>
          <c:tx>
            <c:strRef>
              <c:f>Combined!$E$2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Combined!$A$3:$A$22</c:f>
            </c:numRef>
          </c:xVal>
          <c:yVal>
            <c:numRef>
              <c:f>Combined!$E$3:$E$22</c:f>
              <c:numCache/>
            </c:numRef>
          </c:yVal>
        </c:ser>
        <c:ser>
          <c:idx val="4"/>
          <c:order val="4"/>
          <c:tx>
            <c:strRef>
              <c:f>Combined!$F$2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Combined!$A$3:$A$22</c:f>
            </c:numRef>
          </c:xVal>
          <c:yVal>
            <c:numRef>
              <c:f>Combined!$F$3:$F$22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772591"/>
        <c:axId val="2047203125"/>
      </c:scatterChart>
      <c:valAx>
        <c:axId val="17377725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203125"/>
      </c:valAx>
      <c:valAx>
        <c:axId val="2047203125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772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vs Total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Combined!$A$21:$A$22</c:f>
            </c:strRef>
          </c:cat>
          <c:val>
            <c:numRef>
              <c:f>Combined!$B$21:$B$22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Combined!$A$21:$A$22</c:f>
            </c:strRef>
          </c:cat>
          <c:val>
            <c:numRef>
              <c:f>Combined!$C$21:$C$22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Combined!$A$21:$A$22</c:f>
            </c:strRef>
          </c:cat>
          <c:val>
            <c:numRef>
              <c:f>Combined!$D$21:$D$22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Combined!$A$21:$A$22</c:f>
            </c:strRef>
          </c:cat>
          <c:val>
            <c:numRef>
              <c:f>Combined!$E$21:$E$22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Combined!$A$21:$A$22</c:f>
            </c:strRef>
          </c:cat>
          <c:val>
            <c:numRef>
              <c:f>Combined!$B$2</c:f>
              <c:numCache/>
            </c:numRef>
          </c:val>
        </c:ser>
        <c:ser>
          <c:idx val="5"/>
          <c:order val="5"/>
          <c:cat>
            <c:strRef>
              <c:f>Combined!$A$21:$A$22</c:f>
            </c:strRef>
          </c:cat>
          <c:val>
            <c:numRef>
              <c:f>Combined!$C$2</c:f>
              <c:numCache/>
            </c:numRef>
          </c:val>
        </c:ser>
        <c:ser>
          <c:idx val="6"/>
          <c:order val="6"/>
          <c:cat>
            <c:strRef>
              <c:f>Combined!$A$21:$A$22</c:f>
            </c:strRef>
          </c:cat>
          <c:val>
            <c:numRef>
              <c:f>Combined!$D$2</c:f>
              <c:numCache/>
            </c:numRef>
          </c:val>
        </c:ser>
        <c:ser>
          <c:idx val="7"/>
          <c:order val="7"/>
          <c:cat>
            <c:strRef>
              <c:f>Combined!$A$21:$A$22</c:f>
            </c:strRef>
          </c:cat>
          <c:val>
            <c:numRef>
              <c:f>Combined!$E$2</c:f>
              <c:numCache/>
            </c:numRef>
          </c:val>
        </c:ser>
        <c:ser>
          <c:idx val="8"/>
          <c:order val="8"/>
          <c:cat>
            <c:strRef>
              <c:f>Combined!$A$21:$A$22</c:f>
            </c:strRef>
          </c:cat>
          <c:val>
            <c:numRef>
              <c:f>Combined!$F$21:$F$22</c:f>
              <c:numCache/>
            </c:numRef>
          </c:val>
        </c:ser>
        <c:axId val="676933152"/>
        <c:axId val="1358427567"/>
      </c:barChart>
      <c:catAx>
        <c:axId val="67693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427567"/>
      </c:catAx>
      <c:valAx>
        <c:axId val="1358427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933152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5867400" cy="2495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5686425" cy="2771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3</xdr:row>
      <xdr:rowOff>114300</xdr:rowOff>
    </xdr:from>
    <xdr:ext cx="5715000" cy="3533775"/>
    <xdr:graphicFrame>
      <xdr:nvGraphicFramePr>
        <xdr:cNvPr id="62533456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466725</xdr:colOff>
      <xdr:row>22</xdr:row>
      <xdr:rowOff>123825</xdr:rowOff>
    </xdr:from>
    <xdr:ext cx="5619750" cy="3457575"/>
    <xdr:graphicFrame>
      <xdr:nvGraphicFramePr>
        <xdr:cNvPr id="211268727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30.0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7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  <c r="K4" s="18">
        <v>5.0</v>
      </c>
      <c r="L4" s="18">
        <v>4.0</v>
      </c>
      <c r="M4" s="18">
        <v>3.0</v>
      </c>
      <c r="N4" s="18">
        <v>2.0</v>
      </c>
      <c r="O4" s="18">
        <v>1.0</v>
      </c>
      <c r="P4" s="18">
        <v>0.0</v>
      </c>
      <c r="Q4" s="19"/>
      <c r="R4" s="20" t="s">
        <v>23</v>
      </c>
      <c r="S4" s="21" t="s">
        <v>24</v>
      </c>
    </row>
    <row r="5">
      <c r="A5" s="22" t="s">
        <v>25</v>
      </c>
      <c r="B5" s="23" t="s">
        <v>26</v>
      </c>
      <c r="C5" s="23" t="s">
        <v>26</v>
      </c>
      <c r="D5" s="23" t="s">
        <v>26</v>
      </c>
      <c r="E5" s="24" t="s">
        <v>27</v>
      </c>
      <c r="F5" s="23" t="s">
        <v>26</v>
      </c>
      <c r="G5" s="25" t="s">
        <v>26</v>
      </c>
      <c r="H5" s="25"/>
      <c r="I5" s="3"/>
      <c r="J5" s="26"/>
      <c r="K5" s="27">
        <f t="shared" ref="K5:P5" si="1">IF(IFERROR(SEARCH("x",B5),0)&gt;0,1,0)
</f>
        <v>0</v>
      </c>
      <c r="L5" s="27">
        <f t="shared" si="1"/>
        <v>0</v>
      </c>
      <c r="M5" s="27">
        <f t="shared" si="1"/>
        <v>0</v>
      </c>
      <c r="N5" s="27">
        <f t="shared" si="1"/>
        <v>1</v>
      </c>
      <c r="O5" s="27">
        <f t="shared" si="1"/>
        <v>0</v>
      </c>
      <c r="P5" s="27">
        <f t="shared" si="1"/>
        <v>0</v>
      </c>
      <c r="Q5" s="28"/>
      <c r="R5" s="29">
        <v>1.0</v>
      </c>
      <c r="S5" s="27">
        <f t="shared" ref="S5:S22" si="3">SUMPRODUCT(K5:P5,K$4:P$4)</f>
        <v>2</v>
      </c>
      <c r="T5" s="26"/>
      <c r="U5" s="26"/>
      <c r="V5" s="26"/>
      <c r="W5" s="26"/>
      <c r="X5" s="26"/>
      <c r="Y5" s="26"/>
      <c r="Z5" s="26"/>
    </row>
    <row r="6">
      <c r="A6" s="30" t="s">
        <v>28</v>
      </c>
      <c r="B6" s="23" t="s">
        <v>26</v>
      </c>
      <c r="C6" s="24" t="s">
        <v>27</v>
      </c>
      <c r="D6" s="23" t="s">
        <v>26</v>
      </c>
      <c r="E6" s="23" t="s">
        <v>26</v>
      </c>
      <c r="F6" s="23" t="s">
        <v>26</v>
      </c>
      <c r="G6" s="23" t="s">
        <v>26</v>
      </c>
      <c r="H6" s="23"/>
      <c r="I6" s="3"/>
      <c r="K6" s="31">
        <f t="shared" ref="K6:P6" si="2">IF(IFERROR(SEARCH("x",B6),0)&gt;0,1,0)
</f>
        <v>0</v>
      </c>
      <c r="L6" s="31">
        <f t="shared" si="2"/>
        <v>1</v>
      </c>
      <c r="M6" s="31">
        <f t="shared" si="2"/>
        <v>0</v>
      </c>
      <c r="N6" s="31">
        <f t="shared" si="2"/>
        <v>0</v>
      </c>
      <c r="O6" s="31">
        <f t="shared" si="2"/>
        <v>0</v>
      </c>
      <c r="P6" s="31">
        <f t="shared" si="2"/>
        <v>0</v>
      </c>
      <c r="Q6" s="19"/>
      <c r="R6" s="18">
        <v>2.0</v>
      </c>
      <c r="S6" s="31">
        <f t="shared" si="3"/>
        <v>4</v>
      </c>
    </row>
    <row r="7">
      <c r="A7" s="22" t="s">
        <v>29</v>
      </c>
      <c r="B7" s="25" t="s">
        <v>26</v>
      </c>
      <c r="C7" s="23" t="s">
        <v>26</v>
      </c>
      <c r="D7" s="25" t="s">
        <v>26</v>
      </c>
      <c r="E7" s="24" t="s">
        <v>30</v>
      </c>
      <c r="F7" s="25" t="s">
        <v>26</v>
      </c>
      <c r="G7" s="24" t="s">
        <v>27</v>
      </c>
      <c r="H7" s="24" t="s">
        <v>31</v>
      </c>
      <c r="I7" s="3"/>
      <c r="J7" s="26"/>
      <c r="K7" s="27">
        <f t="shared" ref="K7:P7" si="4">IF(IFERROR(SEARCH("x",B7),0)&gt;0,1,0)
</f>
        <v>0</v>
      </c>
      <c r="L7" s="27">
        <f t="shared" si="4"/>
        <v>0</v>
      </c>
      <c r="M7" s="27">
        <f t="shared" si="4"/>
        <v>0</v>
      </c>
      <c r="N7" s="27">
        <f t="shared" si="4"/>
        <v>0</v>
      </c>
      <c r="O7" s="27">
        <f t="shared" si="4"/>
        <v>0</v>
      </c>
      <c r="P7" s="27">
        <f t="shared" si="4"/>
        <v>1</v>
      </c>
      <c r="Q7" s="28"/>
      <c r="R7" s="29">
        <v>3.0</v>
      </c>
      <c r="S7" s="27">
        <f t="shared" si="3"/>
        <v>0</v>
      </c>
      <c r="T7" s="26"/>
      <c r="U7" s="26"/>
      <c r="V7" s="26"/>
      <c r="W7" s="26"/>
      <c r="X7" s="26"/>
      <c r="Y7" s="26"/>
      <c r="Z7" s="26"/>
    </row>
    <row r="8">
      <c r="A8" s="30" t="s">
        <v>32</v>
      </c>
      <c r="B8" s="23" t="s">
        <v>26</v>
      </c>
      <c r="C8" s="24" t="s">
        <v>30</v>
      </c>
      <c r="D8" s="24" t="s">
        <v>27</v>
      </c>
      <c r="E8" s="23" t="s">
        <v>26</v>
      </c>
      <c r="F8" s="23" t="s">
        <v>26</v>
      </c>
      <c r="G8" s="23" t="s">
        <v>26</v>
      </c>
      <c r="H8" s="24" t="s">
        <v>31</v>
      </c>
      <c r="I8" s="3"/>
      <c r="K8" s="31">
        <f t="shared" ref="K8:P8" si="5">IF(IFERROR(SEARCH("x",B8),0)&gt;0,1,0)
</f>
        <v>0</v>
      </c>
      <c r="L8" s="31">
        <f t="shared" si="5"/>
        <v>0</v>
      </c>
      <c r="M8" s="31">
        <f t="shared" si="5"/>
        <v>1</v>
      </c>
      <c r="N8" s="31">
        <f t="shared" si="5"/>
        <v>0</v>
      </c>
      <c r="O8" s="31">
        <f t="shared" si="5"/>
        <v>0</v>
      </c>
      <c r="P8" s="31">
        <f t="shared" si="5"/>
        <v>0</v>
      </c>
      <c r="Q8" s="19"/>
      <c r="R8" s="18">
        <v>4.0</v>
      </c>
      <c r="S8" s="31">
        <f t="shared" si="3"/>
        <v>3</v>
      </c>
    </row>
    <row r="9">
      <c r="A9" s="22" t="s">
        <v>33</v>
      </c>
      <c r="B9" s="25" t="s">
        <v>26</v>
      </c>
      <c r="C9" s="23" t="s">
        <v>26</v>
      </c>
      <c r="D9" s="24" t="s">
        <v>30</v>
      </c>
      <c r="E9" s="25" t="s">
        <v>26</v>
      </c>
      <c r="F9" s="25" t="s">
        <v>26</v>
      </c>
      <c r="G9" s="24" t="s">
        <v>27</v>
      </c>
      <c r="H9" s="24" t="s">
        <v>31</v>
      </c>
      <c r="I9" s="3"/>
      <c r="J9" s="26"/>
      <c r="K9" s="27">
        <f t="shared" ref="K9:P9" si="6">IF(IFERROR(SEARCH("x",B9),0)&gt;0,1,0)
</f>
        <v>0</v>
      </c>
      <c r="L9" s="27">
        <f t="shared" si="6"/>
        <v>0</v>
      </c>
      <c r="M9" s="27">
        <f t="shared" si="6"/>
        <v>0</v>
      </c>
      <c r="N9" s="27">
        <f t="shared" si="6"/>
        <v>0</v>
      </c>
      <c r="O9" s="27">
        <f t="shared" si="6"/>
        <v>0</v>
      </c>
      <c r="P9" s="27">
        <f t="shared" si="6"/>
        <v>1</v>
      </c>
      <c r="Q9" s="28"/>
      <c r="R9" s="29">
        <v>5.0</v>
      </c>
      <c r="S9" s="27">
        <f t="shared" si="3"/>
        <v>0</v>
      </c>
      <c r="T9" s="26"/>
      <c r="U9" s="26"/>
      <c r="V9" s="26"/>
      <c r="W9" s="26"/>
      <c r="X9" s="26"/>
      <c r="Y9" s="26"/>
      <c r="Z9" s="26"/>
    </row>
    <row r="10">
      <c r="A10" s="30" t="s">
        <v>34</v>
      </c>
      <c r="B10" s="23" t="s">
        <v>26</v>
      </c>
      <c r="C10" s="23" t="s">
        <v>26</v>
      </c>
      <c r="D10" s="24" t="s">
        <v>27</v>
      </c>
      <c r="E10" s="23" t="s">
        <v>26</v>
      </c>
      <c r="F10" s="23" t="s">
        <v>26</v>
      </c>
      <c r="G10" s="23" t="s">
        <v>26</v>
      </c>
      <c r="H10" s="24" t="s">
        <v>31</v>
      </c>
      <c r="I10" s="3"/>
      <c r="K10" s="31">
        <f t="shared" ref="K10:P10" si="7">IF(IFERROR(SEARCH("x",B10),0)&gt;0,1,0)
</f>
        <v>0</v>
      </c>
      <c r="L10" s="31">
        <f t="shared" si="7"/>
        <v>0</v>
      </c>
      <c r="M10" s="31">
        <f t="shared" si="7"/>
        <v>1</v>
      </c>
      <c r="N10" s="31">
        <f t="shared" si="7"/>
        <v>0</v>
      </c>
      <c r="O10" s="31">
        <f t="shared" si="7"/>
        <v>0</v>
      </c>
      <c r="P10" s="31">
        <f t="shared" si="7"/>
        <v>0</v>
      </c>
      <c r="Q10" s="19"/>
      <c r="R10" s="18">
        <v>6.0</v>
      </c>
      <c r="S10" s="31">
        <f t="shared" si="3"/>
        <v>3</v>
      </c>
    </row>
    <row r="11">
      <c r="A11" s="22" t="s">
        <v>35</v>
      </c>
      <c r="B11" s="24" t="s">
        <v>30</v>
      </c>
      <c r="C11" s="23" t="s">
        <v>26</v>
      </c>
      <c r="D11" s="25" t="s">
        <v>26</v>
      </c>
      <c r="E11" s="25" t="s">
        <v>26</v>
      </c>
      <c r="F11" s="25" t="s">
        <v>26</v>
      </c>
      <c r="G11" s="24" t="s">
        <v>27</v>
      </c>
      <c r="H11" s="24" t="s">
        <v>31</v>
      </c>
      <c r="I11" s="3"/>
      <c r="J11" s="26"/>
      <c r="K11" s="27">
        <f t="shared" ref="K11:P11" si="8">IF(IFERROR(SEARCH("x",B11),0)&gt;0,1,0)
</f>
        <v>0</v>
      </c>
      <c r="L11" s="27">
        <f t="shared" si="8"/>
        <v>0</v>
      </c>
      <c r="M11" s="27">
        <f t="shared" si="8"/>
        <v>0</v>
      </c>
      <c r="N11" s="27">
        <f t="shared" si="8"/>
        <v>0</v>
      </c>
      <c r="O11" s="27">
        <f t="shared" si="8"/>
        <v>0</v>
      </c>
      <c r="P11" s="27">
        <f t="shared" si="8"/>
        <v>1</v>
      </c>
      <c r="Q11" s="28"/>
      <c r="R11" s="29">
        <v>7.0</v>
      </c>
      <c r="S11" s="27">
        <f t="shared" si="3"/>
        <v>0</v>
      </c>
      <c r="T11" s="26"/>
      <c r="U11" s="26"/>
      <c r="V11" s="26"/>
      <c r="W11" s="26"/>
      <c r="X11" s="26"/>
      <c r="Y11" s="26"/>
      <c r="Z11" s="26"/>
    </row>
    <row r="12">
      <c r="A12" s="30" t="s">
        <v>36</v>
      </c>
      <c r="B12" s="23" t="s">
        <v>26</v>
      </c>
      <c r="C12" s="23" t="s">
        <v>26</v>
      </c>
      <c r="D12" s="23" t="s">
        <v>26</v>
      </c>
      <c r="E12" s="23" t="s">
        <v>26</v>
      </c>
      <c r="F12" s="23" t="s">
        <v>26</v>
      </c>
      <c r="G12" s="24" t="s">
        <v>27</v>
      </c>
      <c r="H12" s="24" t="s">
        <v>31</v>
      </c>
      <c r="I12" s="3"/>
      <c r="K12" s="31">
        <f t="shared" ref="K12:P12" si="9">IF(IFERROR(SEARCH("x",B12),0)&gt;0,1,0)
</f>
        <v>0</v>
      </c>
      <c r="L12" s="31">
        <f t="shared" si="9"/>
        <v>0</v>
      </c>
      <c r="M12" s="31">
        <f t="shared" si="9"/>
        <v>0</v>
      </c>
      <c r="N12" s="31">
        <f t="shared" si="9"/>
        <v>0</v>
      </c>
      <c r="O12" s="31">
        <f t="shared" si="9"/>
        <v>0</v>
      </c>
      <c r="P12" s="31">
        <f t="shared" si="9"/>
        <v>1</v>
      </c>
      <c r="Q12" s="19"/>
      <c r="R12" s="18">
        <v>8.0</v>
      </c>
      <c r="S12" s="31">
        <f t="shared" si="3"/>
        <v>0</v>
      </c>
    </row>
    <row r="13">
      <c r="A13" s="22" t="s">
        <v>37</v>
      </c>
      <c r="B13" s="23" t="s">
        <v>26</v>
      </c>
      <c r="C13" s="24" t="s">
        <v>30</v>
      </c>
      <c r="D13" s="25" t="s">
        <v>26</v>
      </c>
      <c r="E13" s="25" t="s">
        <v>26</v>
      </c>
      <c r="F13" s="25" t="s">
        <v>26</v>
      </c>
      <c r="G13" s="24" t="s">
        <v>27</v>
      </c>
      <c r="H13" s="24" t="s">
        <v>31</v>
      </c>
      <c r="I13" s="3"/>
      <c r="J13" s="26"/>
      <c r="K13" s="27">
        <f t="shared" ref="K13:P13" si="10">IF(IFERROR(SEARCH("x",B13),0)&gt;0,1,0)
</f>
        <v>0</v>
      </c>
      <c r="L13" s="27">
        <f t="shared" si="10"/>
        <v>0</v>
      </c>
      <c r="M13" s="27">
        <f t="shared" si="10"/>
        <v>0</v>
      </c>
      <c r="N13" s="27">
        <f t="shared" si="10"/>
        <v>0</v>
      </c>
      <c r="O13" s="27">
        <f t="shared" si="10"/>
        <v>0</v>
      </c>
      <c r="P13" s="27">
        <f t="shared" si="10"/>
        <v>1</v>
      </c>
      <c r="Q13" s="28"/>
      <c r="R13" s="29">
        <v>9.0</v>
      </c>
      <c r="S13" s="27">
        <f t="shared" si="3"/>
        <v>0</v>
      </c>
      <c r="T13" s="26"/>
      <c r="U13" s="26"/>
      <c r="V13" s="26"/>
      <c r="W13" s="26"/>
      <c r="X13" s="26"/>
      <c r="Y13" s="26"/>
      <c r="Z13" s="26"/>
    </row>
    <row r="14">
      <c r="A14" s="30" t="s">
        <v>38</v>
      </c>
      <c r="B14" s="23" t="s">
        <v>26</v>
      </c>
      <c r="C14" s="23" t="s">
        <v>26</v>
      </c>
      <c r="D14" s="24" t="s">
        <v>30</v>
      </c>
      <c r="E14" s="23" t="s">
        <v>26</v>
      </c>
      <c r="F14" s="23" t="s">
        <v>26</v>
      </c>
      <c r="G14" s="24" t="s">
        <v>27</v>
      </c>
      <c r="H14" s="24" t="s">
        <v>31</v>
      </c>
      <c r="I14" s="3"/>
      <c r="K14" s="31">
        <f t="shared" ref="K14:P14" si="11">IF(IFERROR(SEARCH("x",B14),0)&gt;0,1,0)
</f>
        <v>0</v>
      </c>
      <c r="L14" s="31">
        <f t="shared" si="11"/>
        <v>0</v>
      </c>
      <c r="M14" s="31">
        <f t="shared" si="11"/>
        <v>0</v>
      </c>
      <c r="N14" s="31">
        <f t="shared" si="11"/>
        <v>0</v>
      </c>
      <c r="O14" s="31">
        <f t="shared" si="11"/>
        <v>0</v>
      </c>
      <c r="P14" s="31">
        <f t="shared" si="11"/>
        <v>1</v>
      </c>
      <c r="Q14" s="19"/>
      <c r="R14" s="18">
        <v>10.0</v>
      </c>
      <c r="S14" s="31">
        <f t="shared" si="3"/>
        <v>0</v>
      </c>
    </row>
    <row r="15">
      <c r="A15" s="22" t="s">
        <v>39</v>
      </c>
      <c r="B15" s="25" t="s">
        <v>26</v>
      </c>
      <c r="C15" s="23" t="s">
        <v>26</v>
      </c>
      <c r="D15" s="25" t="s">
        <v>26</v>
      </c>
      <c r="E15" s="24" t="s">
        <v>30</v>
      </c>
      <c r="F15" s="25" t="s">
        <v>26</v>
      </c>
      <c r="G15" s="24" t="s">
        <v>27</v>
      </c>
      <c r="H15" s="24" t="s">
        <v>31</v>
      </c>
      <c r="I15" s="3"/>
      <c r="J15" s="26"/>
      <c r="K15" s="27">
        <f t="shared" ref="K15:P15" si="12">IF(IFERROR(SEARCH("x",B15),0)&gt;0,1,0)
</f>
        <v>0</v>
      </c>
      <c r="L15" s="27">
        <f t="shared" si="12"/>
        <v>0</v>
      </c>
      <c r="M15" s="27">
        <f t="shared" si="12"/>
        <v>0</v>
      </c>
      <c r="N15" s="27">
        <f t="shared" si="12"/>
        <v>0</v>
      </c>
      <c r="O15" s="27">
        <f t="shared" si="12"/>
        <v>0</v>
      </c>
      <c r="P15" s="27">
        <f t="shared" si="12"/>
        <v>1</v>
      </c>
      <c r="Q15" s="28"/>
      <c r="R15" s="29">
        <v>11.0</v>
      </c>
      <c r="S15" s="27">
        <f t="shared" si="3"/>
        <v>0</v>
      </c>
      <c r="T15" s="26"/>
      <c r="U15" s="26"/>
      <c r="V15" s="26"/>
      <c r="W15" s="26"/>
      <c r="X15" s="26"/>
      <c r="Y15" s="26"/>
      <c r="Z15" s="26"/>
    </row>
    <row r="16">
      <c r="A16" s="30" t="s">
        <v>40</v>
      </c>
      <c r="B16" s="23" t="s">
        <v>26</v>
      </c>
      <c r="C16" s="23" t="s">
        <v>26</v>
      </c>
      <c r="D16" s="23" t="s">
        <v>26</v>
      </c>
      <c r="E16" s="24" t="s">
        <v>30</v>
      </c>
      <c r="F16" s="23" t="s">
        <v>26</v>
      </c>
      <c r="G16" s="24" t="s">
        <v>27</v>
      </c>
      <c r="H16" s="24" t="s">
        <v>31</v>
      </c>
      <c r="I16" s="3"/>
      <c r="K16" s="31">
        <f t="shared" ref="K16:P16" si="13">IF(IFERROR(SEARCH("x",B16),0)&gt;0,1,0)
</f>
        <v>0</v>
      </c>
      <c r="L16" s="31">
        <f t="shared" si="13"/>
        <v>0</v>
      </c>
      <c r="M16" s="31">
        <f t="shared" si="13"/>
        <v>0</v>
      </c>
      <c r="N16" s="31">
        <f t="shared" si="13"/>
        <v>0</v>
      </c>
      <c r="O16" s="31">
        <f t="shared" si="13"/>
        <v>0</v>
      </c>
      <c r="P16" s="31">
        <f t="shared" si="13"/>
        <v>1</v>
      </c>
      <c r="Q16" s="19"/>
      <c r="R16" s="18">
        <v>12.0</v>
      </c>
      <c r="S16" s="31">
        <f t="shared" si="3"/>
        <v>0</v>
      </c>
    </row>
    <row r="17">
      <c r="A17" s="22" t="s">
        <v>41</v>
      </c>
      <c r="B17" s="25" t="s">
        <v>26</v>
      </c>
      <c r="C17" s="25" t="s">
        <v>26</v>
      </c>
      <c r="D17" s="23" t="s">
        <v>26</v>
      </c>
      <c r="E17" s="24" t="s">
        <v>30</v>
      </c>
      <c r="F17" s="25" t="s">
        <v>26</v>
      </c>
      <c r="G17" s="24" t="s">
        <v>27</v>
      </c>
      <c r="H17" s="24" t="s">
        <v>31</v>
      </c>
      <c r="I17" s="3"/>
      <c r="J17" s="26"/>
      <c r="K17" s="27">
        <f t="shared" ref="K17:P17" si="14">IF(IFERROR(SEARCH("x",B17),0)&gt;0,1,0)
</f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1</v>
      </c>
      <c r="Q17" s="28"/>
      <c r="R17" s="29">
        <v>13.0</v>
      </c>
      <c r="S17" s="27">
        <f t="shared" si="3"/>
        <v>0</v>
      </c>
      <c r="T17" s="26"/>
      <c r="U17" s="26"/>
      <c r="V17" s="26"/>
      <c r="W17" s="26"/>
      <c r="X17" s="26"/>
      <c r="Y17" s="26"/>
      <c r="Z17" s="26"/>
    </row>
    <row r="18">
      <c r="A18" s="30" t="s">
        <v>42</v>
      </c>
      <c r="B18" s="23" t="s">
        <v>26</v>
      </c>
      <c r="C18" s="23" t="s">
        <v>26</v>
      </c>
      <c r="D18" s="23" t="s">
        <v>26</v>
      </c>
      <c r="E18" s="23" t="s">
        <v>26</v>
      </c>
      <c r="F18" s="23" t="s">
        <v>26</v>
      </c>
      <c r="G18" s="24" t="s">
        <v>27</v>
      </c>
      <c r="H18" s="24" t="s">
        <v>31</v>
      </c>
      <c r="I18" s="3"/>
      <c r="K18" s="31">
        <f t="shared" ref="K18:P18" si="15">IF(IFERROR(SEARCH("x",B18),0)&gt;0,1,0)
</f>
        <v>0</v>
      </c>
      <c r="L18" s="31">
        <f t="shared" si="15"/>
        <v>0</v>
      </c>
      <c r="M18" s="31">
        <f t="shared" si="15"/>
        <v>0</v>
      </c>
      <c r="N18" s="31">
        <f t="shared" si="15"/>
        <v>0</v>
      </c>
      <c r="O18" s="31">
        <f t="shared" si="15"/>
        <v>0</v>
      </c>
      <c r="P18" s="31">
        <f t="shared" si="15"/>
        <v>1</v>
      </c>
      <c r="Q18" s="19"/>
      <c r="R18" s="18">
        <v>14.0</v>
      </c>
      <c r="S18" s="31">
        <f t="shared" si="3"/>
        <v>0</v>
      </c>
    </row>
    <row r="19">
      <c r="A19" s="22" t="s">
        <v>43</v>
      </c>
      <c r="B19" s="25" t="s">
        <v>26</v>
      </c>
      <c r="C19" s="23" t="s">
        <v>26</v>
      </c>
      <c r="D19" s="25" t="s">
        <v>26</v>
      </c>
      <c r="E19" s="24" t="s">
        <v>30</v>
      </c>
      <c r="F19" s="25" t="s">
        <v>26</v>
      </c>
      <c r="G19" s="24" t="s">
        <v>27</v>
      </c>
      <c r="H19" s="24" t="s">
        <v>31</v>
      </c>
      <c r="I19" s="3"/>
      <c r="J19" s="26"/>
      <c r="K19" s="27">
        <f t="shared" ref="K19:P19" si="16">IF(IFERROR(SEARCH("x",B19),0)&gt;0,1,0)
</f>
        <v>0</v>
      </c>
      <c r="L19" s="27">
        <f t="shared" si="16"/>
        <v>0</v>
      </c>
      <c r="M19" s="27">
        <f t="shared" si="16"/>
        <v>0</v>
      </c>
      <c r="N19" s="27">
        <f t="shared" si="16"/>
        <v>0</v>
      </c>
      <c r="O19" s="27">
        <f t="shared" si="16"/>
        <v>0</v>
      </c>
      <c r="P19" s="27">
        <f t="shared" si="16"/>
        <v>1</v>
      </c>
      <c r="Q19" s="28"/>
      <c r="R19" s="29">
        <v>15.0</v>
      </c>
      <c r="S19" s="27">
        <f t="shared" si="3"/>
        <v>0</v>
      </c>
      <c r="T19" s="26"/>
      <c r="U19" s="26"/>
      <c r="V19" s="26"/>
      <c r="W19" s="26"/>
      <c r="X19" s="26"/>
      <c r="Y19" s="26"/>
      <c r="Z19" s="26"/>
    </row>
    <row r="20">
      <c r="A20" s="30" t="s">
        <v>44</v>
      </c>
      <c r="B20" s="23" t="s">
        <v>26</v>
      </c>
      <c r="C20" s="23" t="s">
        <v>26</v>
      </c>
      <c r="D20" s="23" t="s">
        <v>26</v>
      </c>
      <c r="E20" s="24" t="s">
        <v>30</v>
      </c>
      <c r="F20" s="23" t="s">
        <v>26</v>
      </c>
      <c r="G20" s="24" t="s">
        <v>27</v>
      </c>
      <c r="H20" s="24" t="s">
        <v>31</v>
      </c>
      <c r="I20" s="3"/>
      <c r="K20" s="31">
        <f t="shared" ref="K20:P20" si="17">IF(IFERROR(SEARCH("x",B20),0)&gt;0,1,0)
</f>
        <v>0</v>
      </c>
      <c r="L20" s="31">
        <f t="shared" si="17"/>
        <v>0</v>
      </c>
      <c r="M20" s="31">
        <f t="shared" si="17"/>
        <v>0</v>
      </c>
      <c r="N20" s="31">
        <f t="shared" si="17"/>
        <v>0</v>
      </c>
      <c r="O20" s="31">
        <f t="shared" si="17"/>
        <v>0</v>
      </c>
      <c r="P20" s="31">
        <f t="shared" si="17"/>
        <v>1</v>
      </c>
      <c r="Q20" s="19"/>
      <c r="R20" s="18">
        <v>16.0</v>
      </c>
      <c r="S20" s="31">
        <f t="shared" si="3"/>
        <v>0</v>
      </c>
    </row>
    <row r="21" ht="15.75" customHeight="1">
      <c r="A21" s="22" t="s">
        <v>45</v>
      </c>
      <c r="B21" s="25" t="s">
        <v>26</v>
      </c>
      <c r="C21" s="24" t="s">
        <v>26</v>
      </c>
      <c r="D21" s="23" t="s">
        <v>26</v>
      </c>
      <c r="E21" s="24" t="s">
        <v>30</v>
      </c>
      <c r="F21" s="25" t="s">
        <v>26</v>
      </c>
      <c r="G21" s="24" t="s">
        <v>27</v>
      </c>
      <c r="H21" s="24" t="s">
        <v>31</v>
      </c>
      <c r="I21" s="3"/>
      <c r="J21" s="26"/>
      <c r="K21" s="27">
        <f t="shared" ref="K21:P21" si="18">IF(IFERROR(SEARCH("x",B21),0)&gt;0,1,0)
</f>
        <v>0</v>
      </c>
      <c r="L21" s="27">
        <f t="shared" si="18"/>
        <v>0</v>
      </c>
      <c r="M21" s="27">
        <f t="shared" si="18"/>
        <v>0</v>
      </c>
      <c r="N21" s="27">
        <f t="shared" si="18"/>
        <v>0</v>
      </c>
      <c r="O21" s="27">
        <f t="shared" si="18"/>
        <v>0</v>
      </c>
      <c r="P21" s="27">
        <f t="shared" si="18"/>
        <v>1</v>
      </c>
      <c r="Q21" s="28"/>
      <c r="R21" s="29">
        <v>17.0</v>
      </c>
      <c r="S21" s="27">
        <f t="shared" si="3"/>
        <v>0</v>
      </c>
      <c r="T21" s="26"/>
      <c r="U21" s="26"/>
      <c r="V21" s="26"/>
      <c r="W21" s="26"/>
      <c r="X21" s="26"/>
      <c r="Y21" s="26"/>
      <c r="Z21" s="26"/>
    </row>
    <row r="22" ht="15.75" customHeight="1">
      <c r="A22" s="30" t="s">
        <v>46</v>
      </c>
      <c r="B22" s="23" t="s">
        <v>26</v>
      </c>
      <c r="C22" s="24" t="s">
        <v>27</v>
      </c>
      <c r="D22" s="23" t="s">
        <v>26</v>
      </c>
      <c r="E22" s="23" t="s">
        <v>26</v>
      </c>
      <c r="F22" s="23" t="s">
        <v>26</v>
      </c>
      <c r="G22" s="23" t="s">
        <v>26</v>
      </c>
      <c r="H22" s="24" t="s">
        <v>31</v>
      </c>
      <c r="I22" s="3"/>
      <c r="K22" s="31">
        <f t="shared" ref="K22:P22" si="19">IF(IFERROR(SEARCH("x",B22),0)&gt;0,1,0)
</f>
        <v>0</v>
      </c>
      <c r="L22" s="31">
        <f t="shared" si="19"/>
        <v>1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19"/>
      <c r="R22" s="18">
        <v>18.0</v>
      </c>
      <c r="S22" s="31">
        <f t="shared" si="3"/>
        <v>4</v>
      </c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"/>
    </row>
    <row r="24" ht="15.75" customHeight="1">
      <c r="A24" s="33" t="s">
        <v>47</v>
      </c>
      <c r="B24" s="34"/>
      <c r="C24" s="34"/>
      <c r="D24" s="34"/>
      <c r="E24" s="34"/>
      <c r="F24" s="34"/>
      <c r="G24" s="34"/>
      <c r="H24" s="34"/>
      <c r="I24" s="3"/>
    </row>
    <row r="25" ht="15.75" customHeight="1">
      <c r="A25" s="35" t="s">
        <v>48</v>
      </c>
      <c r="B25" s="32"/>
      <c r="C25" s="32"/>
      <c r="D25" s="32"/>
      <c r="E25" s="32"/>
      <c r="F25" s="32"/>
      <c r="G25" s="32"/>
      <c r="H25" s="32"/>
      <c r="I25" s="3"/>
    </row>
    <row r="26" ht="15.75" customHeight="1">
      <c r="A26" s="35" t="s">
        <v>49</v>
      </c>
      <c r="B26" s="32"/>
      <c r="C26" s="32"/>
      <c r="D26" s="32"/>
      <c r="E26" s="32"/>
      <c r="F26" s="32"/>
      <c r="G26" s="32"/>
      <c r="H26" s="32"/>
      <c r="I26" s="3"/>
    </row>
    <row r="27" ht="218.25" customHeight="1">
      <c r="A27" s="32"/>
      <c r="B27" s="32"/>
      <c r="C27" s="32"/>
      <c r="D27" s="32"/>
      <c r="E27" s="32"/>
      <c r="F27" s="32"/>
      <c r="G27" s="32"/>
      <c r="H27" s="32"/>
      <c r="I27" s="3"/>
    </row>
    <row r="28" ht="218.25" customHeight="1">
      <c r="A28" s="32"/>
      <c r="B28" s="32"/>
      <c r="C28" s="32"/>
      <c r="D28" s="32"/>
      <c r="E28" s="32"/>
      <c r="F28" s="32"/>
      <c r="G28" s="32"/>
      <c r="H28" s="32"/>
      <c r="I28" s="3"/>
    </row>
    <row r="29" ht="16.5" customHeight="1">
      <c r="A29" s="32"/>
      <c r="B29" s="32"/>
      <c r="C29" s="32"/>
      <c r="D29" s="32"/>
      <c r="E29" s="32"/>
      <c r="F29" s="32"/>
      <c r="G29" s="32"/>
      <c r="H29" s="32"/>
      <c r="I29" s="3"/>
    </row>
    <row r="30" ht="16.5" customHeight="1">
      <c r="A30" s="32"/>
      <c r="B30" s="32"/>
      <c r="C30" s="32"/>
      <c r="D30" s="32"/>
      <c r="E30" s="32"/>
      <c r="F30" s="32"/>
      <c r="G30" s="32"/>
      <c r="H30" s="32"/>
      <c r="I30" s="3"/>
    </row>
    <row r="31" ht="16.5" customHeight="1">
      <c r="A31" s="32"/>
      <c r="B31" s="32"/>
      <c r="C31" s="32"/>
      <c r="D31" s="32"/>
      <c r="E31" s="32"/>
      <c r="F31" s="32"/>
      <c r="G31" s="32"/>
      <c r="H31" s="32"/>
      <c r="I31" s="3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36" t="s">
        <v>23</v>
      </c>
      <c r="B2" s="37" t="s">
        <v>50</v>
      </c>
      <c r="C2" s="37" t="s">
        <v>51</v>
      </c>
      <c r="D2" s="37" t="s">
        <v>52</v>
      </c>
      <c r="E2" s="37" t="s">
        <v>53</v>
      </c>
      <c r="F2" s="37" t="s">
        <v>54</v>
      </c>
    </row>
    <row r="3">
      <c r="A3" s="38">
        <v>1.0</v>
      </c>
      <c r="B3" s="38">
        <v>2.0</v>
      </c>
      <c r="C3" s="39">
        <v>4.0</v>
      </c>
      <c r="D3" s="39">
        <v>5.0</v>
      </c>
      <c r="E3" s="39">
        <v>5.0</v>
      </c>
      <c r="F3" s="39">
        <v>3.0</v>
      </c>
    </row>
    <row r="4">
      <c r="A4" s="36">
        <v>2.0</v>
      </c>
      <c r="B4" s="36">
        <v>4.0</v>
      </c>
      <c r="C4" s="39">
        <v>3.0</v>
      </c>
      <c r="D4" s="39">
        <v>3.0</v>
      </c>
      <c r="E4" s="39">
        <v>3.0</v>
      </c>
      <c r="F4" s="39">
        <v>3.0</v>
      </c>
    </row>
    <row r="5">
      <c r="A5" s="38">
        <v>3.0</v>
      </c>
      <c r="B5" s="38">
        <v>0.0</v>
      </c>
      <c r="C5" s="39">
        <v>1.0</v>
      </c>
      <c r="D5" s="39">
        <v>0.0</v>
      </c>
      <c r="E5" s="39">
        <v>3.0</v>
      </c>
      <c r="F5" s="39">
        <v>3.0</v>
      </c>
    </row>
    <row r="6">
      <c r="A6" s="36">
        <v>4.0</v>
      </c>
      <c r="B6" s="36">
        <v>3.0</v>
      </c>
      <c r="C6" s="39">
        <v>2.0</v>
      </c>
      <c r="D6" s="39">
        <v>0.0</v>
      </c>
      <c r="E6" s="39">
        <v>3.0</v>
      </c>
      <c r="F6" s="39">
        <v>4.0</v>
      </c>
    </row>
    <row r="7">
      <c r="A7" s="38">
        <v>5.0</v>
      </c>
      <c r="B7" s="38">
        <v>0.0</v>
      </c>
      <c r="C7" s="39">
        <v>3.0</v>
      </c>
      <c r="D7" s="39">
        <v>3.0</v>
      </c>
      <c r="E7" s="39">
        <v>3.0</v>
      </c>
      <c r="F7" s="39">
        <v>3.0</v>
      </c>
    </row>
    <row r="8">
      <c r="A8" s="36">
        <v>6.0</v>
      </c>
      <c r="B8" s="36">
        <v>3.0</v>
      </c>
      <c r="C8" s="39">
        <v>2.0</v>
      </c>
      <c r="D8" s="39">
        <v>4.0</v>
      </c>
      <c r="E8" s="39">
        <v>3.0</v>
      </c>
      <c r="F8" s="39">
        <v>3.0</v>
      </c>
    </row>
    <row r="9">
      <c r="A9" s="38">
        <v>7.0</v>
      </c>
      <c r="B9" s="38">
        <v>0.0</v>
      </c>
      <c r="C9" s="39">
        <v>1.0</v>
      </c>
      <c r="D9" s="39">
        <v>4.0</v>
      </c>
      <c r="E9" s="39">
        <v>5.0</v>
      </c>
      <c r="F9" s="39">
        <v>5.0</v>
      </c>
    </row>
    <row r="10">
      <c r="A10" s="36">
        <v>8.0</v>
      </c>
      <c r="B10" s="36">
        <v>0.0</v>
      </c>
      <c r="C10" s="39">
        <v>2.0</v>
      </c>
      <c r="D10" s="39">
        <v>2.0</v>
      </c>
      <c r="E10" s="39">
        <v>5.0</v>
      </c>
      <c r="F10" s="39">
        <v>5.0</v>
      </c>
    </row>
    <row r="11">
      <c r="A11" s="38">
        <v>9.0</v>
      </c>
      <c r="B11" s="38">
        <v>0.0</v>
      </c>
      <c r="C11" s="39">
        <v>3.0</v>
      </c>
      <c r="D11" s="39">
        <v>3.0</v>
      </c>
      <c r="E11" s="39">
        <v>5.0</v>
      </c>
      <c r="F11" s="39">
        <v>5.0</v>
      </c>
    </row>
    <row r="12">
      <c r="A12" s="36">
        <v>10.0</v>
      </c>
      <c r="B12" s="36">
        <v>0.0</v>
      </c>
      <c r="C12" s="39">
        <v>3.0</v>
      </c>
      <c r="D12" s="39">
        <v>4.0</v>
      </c>
      <c r="E12" s="39">
        <v>3.0</v>
      </c>
      <c r="F12" s="39">
        <v>2.0</v>
      </c>
    </row>
    <row r="13">
      <c r="A13" s="38">
        <v>11.0</v>
      </c>
      <c r="B13" s="38">
        <v>0.0</v>
      </c>
      <c r="C13" s="39">
        <v>2.0</v>
      </c>
      <c r="D13" s="39">
        <v>2.0</v>
      </c>
      <c r="E13" s="39">
        <v>4.0</v>
      </c>
      <c r="F13" s="39">
        <v>4.0</v>
      </c>
    </row>
    <row r="14">
      <c r="A14" s="36">
        <v>12.0</v>
      </c>
      <c r="B14" s="36">
        <v>0.0</v>
      </c>
      <c r="C14" s="39">
        <v>1.0</v>
      </c>
      <c r="D14" s="39">
        <v>4.0</v>
      </c>
      <c r="E14" s="39">
        <v>3.0</v>
      </c>
      <c r="F14" s="39">
        <v>3.0</v>
      </c>
    </row>
    <row r="15">
      <c r="A15" s="38">
        <v>13.0</v>
      </c>
      <c r="B15" s="38">
        <v>0.0</v>
      </c>
      <c r="C15" s="39">
        <v>2.0</v>
      </c>
      <c r="D15" s="39">
        <v>2.0</v>
      </c>
      <c r="E15" s="39">
        <v>3.0</v>
      </c>
      <c r="F15" s="39">
        <v>3.0</v>
      </c>
    </row>
    <row r="16">
      <c r="A16" s="36">
        <v>14.0</v>
      </c>
      <c r="B16" s="36">
        <v>0.0</v>
      </c>
      <c r="C16" s="39">
        <v>1.0</v>
      </c>
      <c r="D16" s="39">
        <v>0.0</v>
      </c>
      <c r="E16" s="39">
        <v>4.0</v>
      </c>
      <c r="F16" s="39">
        <v>4.0</v>
      </c>
    </row>
    <row r="17">
      <c r="A17" s="38">
        <v>15.0</v>
      </c>
      <c r="B17" s="38">
        <v>0.0</v>
      </c>
      <c r="C17" s="39">
        <v>1.0</v>
      </c>
      <c r="D17" s="39">
        <v>1.0</v>
      </c>
      <c r="E17" s="39">
        <v>3.0</v>
      </c>
      <c r="F17" s="39">
        <v>3.0</v>
      </c>
    </row>
    <row r="18">
      <c r="A18" s="36">
        <v>16.0</v>
      </c>
      <c r="B18" s="36">
        <v>0.0</v>
      </c>
      <c r="C18" s="39">
        <v>5.0</v>
      </c>
      <c r="D18" s="39">
        <v>5.0</v>
      </c>
      <c r="E18" s="39">
        <v>4.0</v>
      </c>
      <c r="F18" s="39">
        <v>4.0</v>
      </c>
    </row>
    <row r="19">
      <c r="A19" s="38">
        <v>17.0</v>
      </c>
      <c r="B19" s="38">
        <v>0.0</v>
      </c>
      <c r="C19" s="39">
        <v>4.0</v>
      </c>
      <c r="D19" s="39">
        <v>4.0</v>
      </c>
      <c r="E19" s="39">
        <v>4.0</v>
      </c>
      <c r="F19" s="39">
        <v>3.0</v>
      </c>
    </row>
    <row r="20">
      <c r="A20" s="36">
        <v>18.0</v>
      </c>
      <c r="B20" s="36">
        <v>4.0</v>
      </c>
      <c r="C20" s="37">
        <v>5.0</v>
      </c>
      <c r="D20" s="39">
        <v>5.0</v>
      </c>
      <c r="E20" s="39">
        <v>4.0</v>
      </c>
      <c r="F20" s="39">
        <v>3.0</v>
      </c>
    </row>
    <row r="21">
      <c r="A21" s="37" t="s">
        <v>55</v>
      </c>
      <c r="B21" s="36">
        <f t="shared" ref="B21:F21" si="1">SUM(B3:B20)</f>
        <v>16</v>
      </c>
      <c r="C21" s="36">
        <f t="shared" si="1"/>
        <v>45</v>
      </c>
      <c r="D21" s="36">
        <f t="shared" si="1"/>
        <v>51</v>
      </c>
      <c r="E21" s="36">
        <f t="shared" si="1"/>
        <v>67</v>
      </c>
      <c r="F21" s="36">
        <f t="shared" si="1"/>
        <v>63</v>
      </c>
    </row>
    <row r="22">
      <c r="A22" s="37" t="s">
        <v>56</v>
      </c>
      <c r="B22" s="37">
        <v>30.0</v>
      </c>
      <c r="C22" s="37">
        <v>29.0</v>
      </c>
      <c r="D22" s="37">
        <v>25.0</v>
      </c>
      <c r="E22" s="37">
        <v>23.0</v>
      </c>
      <c r="F22" s="37">
        <v>21.0</v>
      </c>
    </row>
    <row r="24">
      <c r="A24" s="37" t="s">
        <v>57</v>
      </c>
      <c r="C24" s="36">
        <f>CORREL(B21:F21,B22:F22)</f>
        <v>-0.8737926033</v>
      </c>
    </row>
  </sheetData>
  <drawing r:id="rId1"/>
</worksheet>
</file>